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<sst xmlns="http://schemas.openxmlformats.org/spreadsheetml/2006/main" count="41" uniqueCount="40">
  <si>
    <t xml:space="preserve">RH</t>
  </si>
  <si>
    <t xml:space="preserve">A</t>
  </si>
  <si>
    <t xml:space="preserve">total p</t>
  </si>
  <si>
    <t xml:space="preserve">B</t>
  </si>
  <si>
    <t xml:space="preserve">LN (p sat)</t>
  </si>
  <si>
    <t xml:space="preserve">C</t>
  </si>
  <si>
    <t xml:space="preserve">p_sat</t>
  </si>
  <si>
    <t xml:space="preserve">D</t>
  </si>
  <si>
    <t xml:space="preserve">E</t>
  </si>
  <si>
    <t xml:space="preserve">Water vapour partial pressure p (j) vap = RH*p_sat</t>
  </si>
  <si>
    <t xml:space="preserve">T</t>
  </si>
  <si>
    <t xml:space="preserve">Dry air partial pressure p_da</t>
  </si>
  <si>
    <t xml:space="preserve">M_waterVap (kg/mol)</t>
  </si>
  <si>
    <t xml:space="preserve">M_air (kg/mol)</t>
  </si>
  <si>
    <t xml:space="preserve">NaCl drop dia (micron)</t>
  </si>
  <si>
    <t xml:space="preserve">air density (kg/m^3)=p_da*M_air/(RT)</t>
  </si>
  <si>
    <t xml:space="preserve">NaCl solution density (kg/m^3)</t>
  </si>
  <si>
    <t xml:space="preserve">water vapor density =p vap *M_waterVap/RT</t>
  </si>
  <si>
    <t xml:space="preserve">water density (kg/m^3)</t>
  </si>
  <si>
    <t xml:space="preserve">rho_mixture</t>
  </si>
  <si>
    <t xml:space="preserve">R</t>
  </si>
  <si>
    <t xml:space="preserve">air mass (kg)</t>
  </si>
  <si>
    <t xml:space="preserve">dia min (micron)</t>
  </si>
  <si>
    <t xml:space="preserve">mass of vapor (kg)</t>
  </si>
  <si>
    <t xml:space="preserve">dia max (micron)</t>
  </si>
  <si>
    <t xml:space="preserve">size min (kg)</t>
  </si>
  <si>
    <t xml:space="preserve">size max (kg)</t>
  </si>
  <si>
    <t xml:space="preserve">total mass (kg)</t>
  </si>
  <si>
    <t xml:space="preserve">volume of system (m^3)</t>
  </si>
  <si>
    <t xml:space="preserve">air mass fraction</t>
  </si>
  <si>
    <t xml:space="preserve">vapor mass fraction</t>
  </si>
  <si>
    <t xml:space="preserve">NaCl solute mass fraction</t>
  </si>
  <si>
    <t xml:space="preserve">D vapor</t>
  </si>
  <si>
    <t xml:space="preserve">solution mass fraction</t>
  </si>
  <si>
    <t xml:space="preserve">NaCl solution mass fraction (gm/kg)</t>
  </si>
  <si>
    <t xml:space="preserve">Total NaCl solution mass (kg)</t>
  </si>
  <si>
    <t xml:space="preserve">solute NaCl mass (kg)</t>
  </si>
  <si>
    <t xml:space="preserve">solution water mass (kg)</t>
  </si>
  <si>
    <t xml:space="preserve">NaCl solution CRITICAL mass fraction (gm/kg)</t>
  </si>
  <si>
    <t xml:space="preserve">solute NaCl CRITICAL mass (kg)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</si>
</sst>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G18" activeCellId="0" sqref="G18"/>
    </sheetView>
  </sheetViews>
  <sheetFormatPr defaultColWidth="8.5859375" defaultRowHeight="13.8" zeroHeight="false" outlineLevelRow="0" outlineLevelCol="0"/>
  <cols>
    <col collapsed="false" customWidth="true" hidden="false" outlineLevel="0" max="1" min="1" style="0" width="53.47"/>
    <col collapsed="false" customWidth="true" hidden="false" outlineLevel="0" max="2" min="2" style="0" width="19.62"/>
    <col collapsed="false" customWidth="true" hidden="false" outlineLevel="0" max="4" min="4" style="0" width="41.34"/>
    <col collapsed="false" customWidth="true" hidden="false" outlineLevel="0" max="5" min="5" style="0" width="23.6"/>
    <col collapsed="false" customWidth="true" hidden="false" outlineLevel="0" max="1024" min="1023" style="0" width="9.14"/>
  </cols>
  <sheetData>
    <row r="1" customFormat="false" ht="13.8" hidden="false" customHeight="false" outlineLevel="0" collapsed="false">
      <c r="A1" s="0" t="s">
        <v>0</v>
      </c>
      <c r="B1" s="0" t="n">
        <v>55</v>
      </c>
      <c r="D1" s="0" t="s">
        <v>1</v>
      </c>
      <c r="E1" s="0" t="n">
        <v>73.649</v>
      </c>
    </row>
    <row r="2" customFormat="false" ht="14.9" hidden="false" customHeight="false" outlineLevel="0" collapsed="false">
      <c r="A2" s="0" t="s">
        <v>2</v>
      </c>
      <c r="B2" s="1" t="n">
        <v>101325</v>
      </c>
      <c r="D2" s="0" t="s">
        <v>3</v>
      </c>
      <c r="E2" s="0" t="n">
        <v>-7258.2</v>
      </c>
    </row>
    <row r="3" customFormat="false" ht="13.8" hidden="false" customHeight="false" outlineLevel="0" collapsed="false">
      <c r="A3" s="0" t="s">
        <v>4</v>
      </c>
      <c r="B3" s="2" t="n">
        <f aca="false">E1+(E2/$E$7)+E3*LN($E$7)+E4*$E$7^E5</f>
        <v>8.06160855503888</v>
      </c>
      <c r="D3" s="0" t="s">
        <v>5</v>
      </c>
      <c r="E3" s="0" t="n">
        <v>-7.3037</v>
      </c>
    </row>
    <row r="4" customFormat="false" ht="13.8" hidden="false" customHeight="false" outlineLevel="0" collapsed="false">
      <c r="A4" s="0" t="s">
        <v>6</v>
      </c>
      <c r="B4" s="0" t="n">
        <f aca="false">EXP(B3)</f>
        <v>3170.38577496278</v>
      </c>
      <c r="D4" s="0" t="s">
        <v>7</v>
      </c>
      <c r="E4" s="2" t="n">
        <v>4.1653E-006</v>
      </c>
    </row>
    <row r="5" customFormat="false" ht="13.8" hidden="false" customHeight="false" outlineLevel="0" collapsed="false">
      <c r="D5" s="0" t="s">
        <v>8</v>
      </c>
      <c r="E5" s="0" t="n">
        <v>2</v>
      </c>
    </row>
    <row r="7" customFormat="false" ht="13.8" hidden="false" customHeight="false" outlineLevel="0" collapsed="false">
      <c r="A7" s="0" t="s">
        <v>9</v>
      </c>
      <c r="B7" s="2" t="n">
        <f aca="false">B4*B1/100</f>
        <v>1743.71217622953</v>
      </c>
      <c r="D7" s="0" t="s">
        <v>10</v>
      </c>
      <c r="E7" s="0" t="n">
        <f aca="false">273.15+25</f>
        <v>298.15</v>
      </c>
    </row>
    <row r="8" customFormat="false" ht="13.8" hidden="false" customHeight="false" outlineLevel="0" collapsed="false">
      <c r="A8" s="0" t="s">
        <v>11</v>
      </c>
      <c r="B8" s="0" t="n">
        <f aca="false">B2-B7</f>
        <v>99581.2878237705</v>
      </c>
    </row>
    <row r="9" customFormat="false" ht="14.9" hidden="false" customHeight="false" outlineLevel="0" collapsed="false">
      <c r="B9" s="2"/>
      <c r="D9" s="3" t="s">
        <v>12</v>
      </c>
      <c r="E9" s="4" t="n">
        <v>0.01801528</v>
      </c>
    </row>
    <row r="10" customFormat="false" ht="13.8" hidden="false" customHeight="false" outlineLevel="0" collapsed="false">
      <c r="D10" s="0" t="s">
        <v>13</v>
      </c>
      <c r="E10" s="2" t="n">
        <v>0.029</v>
      </c>
    </row>
    <row r="11" customFormat="false" ht="13.8" hidden="false" customHeight="false" outlineLevel="0" collapsed="false">
      <c r="D11" s="5" t="s">
        <v>14</v>
      </c>
      <c r="E11" s="5" t="n">
        <v>15</v>
      </c>
    </row>
    <row r="12" customFormat="false" ht="13.8" hidden="false" customHeight="false" outlineLevel="0" collapsed="false">
      <c r="A12" s="0" t="s">
        <v>15</v>
      </c>
      <c r="B12" s="0" t="n">
        <f aca="false">B8*E10/(E14*E7)</f>
        <v>1.16495730329065</v>
      </c>
      <c r="D12" s="0" t="s">
        <v>16</v>
      </c>
      <c r="E12" s="0" t="n">
        <v>1000</v>
      </c>
    </row>
    <row r="13" customFormat="false" ht="13.8" hidden="false" customHeight="false" outlineLevel="0" collapsed="false">
      <c r="A13" s="0" t="s">
        <v>17</v>
      </c>
      <c r="B13" s="0" t="n">
        <f aca="false">B7*E9/(E14*E7)</f>
        <v>0.0126721436890364</v>
      </c>
      <c r="D13" s="0" t="s">
        <v>18</v>
      </c>
      <c r="E13" s="0" t="n">
        <v>1000</v>
      </c>
    </row>
    <row r="14" customFormat="false" ht="13.8" hidden="false" customHeight="false" outlineLevel="0" collapsed="false">
      <c r="A14" s="0" t="s">
        <v>19</v>
      </c>
      <c r="B14" s="0" t="n">
        <f aca="false">B12+B13</f>
        <v>1.17762944697969</v>
      </c>
      <c r="D14" s="0" t="s">
        <v>20</v>
      </c>
      <c r="E14" s="0" t="n">
        <v>8.3144</v>
      </c>
    </row>
    <row r="16" customFormat="false" ht="13.8" hidden="false" customHeight="false" outlineLevel="0" collapsed="false">
      <c r="A16" s="0" t="s">
        <v>21</v>
      </c>
      <c r="B16" s="0" t="n">
        <f aca="false">B12*E22</f>
        <v>1.16495730329065</v>
      </c>
      <c r="D16" s="0" t="s">
        <v>22</v>
      </c>
      <c r="E16" s="0" t="n">
        <v>0.01</v>
      </c>
    </row>
    <row r="17" customFormat="false" ht="13.8" hidden="false" customHeight="false" outlineLevel="0" collapsed="false">
      <c r="A17" s="0" t="s">
        <v>23</v>
      </c>
      <c r="B17" s="0" t="n">
        <f aca="false">B13*E22</f>
        <v>0.0126721436890364</v>
      </c>
      <c r="D17" s="0" t="s">
        <v>24</v>
      </c>
      <c r="E17" s="0" t="n">
        <v>15</v>
      </c>
    </row>
    <row r="19" customFormat="false" ht="13.8" hidden="false" customHeight="false" outlineLevel="0" collapsed="false">
      <c r="D19" s="0" t="s">
        <v>25</v>
      </c>
      <c r="E19" s="0" t="n">
        <f aca="false">E13*(4/3)*PI()*(E16*0.000001/2)^3</f>
        <v>5.23598775598299E-022</v>
      </c>
    </row>
    <row r="20" customFormat="false" ht="13.8" hidden="false" customHeight="false" outlineLevel="0" collapsed="false">
      <c r="D20" s="0" t="s">
        <v>26</v>
      </c>
      <c r="E20" s="0" t="n">
        <f aca="false">E13*(4/3)*PI()*(E17*0.000001/2)^3</f>
        <v>1.76714586764426E-012</v>
      </c>
    </row>
    <row r="21" customFormat="false" ht="13.8" hidden="false" customHeight="false" outlineLevel="0" collapsed="false">
      <c r="A21" s="0" t="s">
        <v>27</v>
      </c>
      <c r="B21" s="0" t="n">
        <f aca="false">B16+B17+E29</f>
        <v>1.17762944698145</v>
      </c>
    </row>
    <row r="22" customFormat="false" ht="13.8" hidden="false" customHeight="false" outlineLevel="0" collapsed="false">
      <c r="D22" s="0" t="s">
        <v>28</v>
      </c>
      <c r="E22" s="0" t="n">
        <v>1</v>
      </c>
    </row>
    <row r="23" customFormat="false" ht="13.8" hidden="false" customHeight="false" outlineLevel="0" collapsed="false">
      <c r="A23" s="0" t="s">
        <v>29</v>
      </c>
      <c r="B23" s="0" t="n">
        <f aca="false">B16/$B$21</f>
        <v>0.989239277496597</v>
      </c>
    </row>
    <row r="24" customFormat="false" ht="13.8" hidden="false" customHeight="false" outlineLevel="0" collapsed="false">
      <c r="A24" s="0" t="s">
        <v>30</v>
      </c>
      <c r="B24" s="0" t="n">
        <f aca="false">B17/B21</f>
        <v>0.0107607225019026</v>
      </c>
    </row>
    <row r="25" customFormat="false" ht="13.8" hidden="false" customHeight="false" outlineLevel="0" collapsed="false">
      <c r="A25" s="0" t="s">
        <v>31</v>
      </c>
      <c r="B25" s="0" t="n">
        <f aca="false">E30/B21</f>
        <v>1.20047668452848E-014</v>
      </c>
      <c r="D25" s="0" t="s">
        <v>32</v>
      </c>
      <c r="E25" s="0" t="n">
        <f aca="false">0.000022*(E7/273.15)^1.67*(101325/B2)</f>
        <v>2.54647142750461E-005</v>
      </c>
    </row>
    <row r="26" customFormat="false" ht="13.8" hidden="false" customHeight="false" outlineLevel="0" collapsed="false">
      <c r="A26" s="0" t="s">
        <v>33</v>
      </c>
      <c r="B26" s="0" t="n">
        <f aca="false">E31/B21</f>
        <v>1.48859108881532E-012</v>
      </c>
    </row>
    <row r="27" customFormat="false" ht="13.8" hidden="false" customHeight="false" outlineLevel="0" collapsed="false">
      <c r="D27" s="0" t="s">
        <v>34</v>
      </c>
      <c r="E27" s="0" t="n">
        <v>8</v>
      </c>
    </row>
    <row r="29" customFormat="false" ht="13.8" hidden="false" customHeight="false" outlineLevel="0" collapsed="false">
      <c r="D29" s="0" t="s">
        <v>35</v>
      </c>
      <c r="E29" s="0" t="n">
        <f aca="false">PI()*(E11*0.000001)^3/6*E12</f>
        <v>1.76714586764426E-012</v>
      </c>
    </row>
    <row r="30" customFormat="false" ht="13.8" hidden="false" customHeight="false" outlineLevel="0" collapsed="false">
      <c r="D30" s="0" t="s">
        <v>36</v>
      </c>
      <c r="E30" s="0" t="n">
        <f aca="false">E29*E27/1000</f>
        <v>1.41371669411541E-014</v>
      </c>
    </row>
    <row r="31" customFormat="false" ht="13.8" hidden="false" customHeight="false" outlineLevel="0" collapsed="false">
      <c r="D31" s="0" t="s">
        <v>37</v>
      </c>
      <c r="E31" s="0" t="n">
        <f aca="false">E29-E30</f>
        <v>1.7530087007031E-012</v>
      </c>
    </row>
    <row r="35" customFormat="false" ht="13.8" hidden="false" customHeight="false" outlineLevel="0" collapsed="false">
      <c r="D35" s="0" t="s">
        <v>38</v>
      </c>
      <c r="E35" s="0" t="n">
        <v>357</v>
      </c>
    </row>
    <row r="36" customFormat="false" ht="13.8" hidden="false" customHeight="false" outlineLevel="0" collapsed="false">
      <c r="D36" s="0" t="s">
        <v>39</v>
      </c>
      <c r="E36" s="0" t="n">
        <f aca="false">E29*E35/1000</f>
        <v>6.30871074749E-013</v>
      </c>
    </row>
    <row r="37" customFormat="false" ht="13.8" hidden="false" customHeight="false" outlineLevel="0" collapsed="false">
      <c r="D37" s="0" t="s">
        <v>37</v>
      </c>
      <c r="E37" s="0" t="n">
        <f aca="false">E29-E36</f>
        <v>1.13627479289526E-012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en-IN</dc:language>
  <cp:lastModifiedBy/>
  <dcterms:modified xsi:type="dcterms:W3CDTF">2026-01-29T21:02:35Z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